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nardou\Documents\GitHub\P-Bulle_Snake\Doc\Journal de travail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C18" i="12"/>
  <c r="C5" i="12"/>
  <c r="C4" i="12"/>
  <c r="C12" i="12"/>
  <c r="C17" i="12"/>
  <c r="C16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0" i="12"/>
  <c r="C48" i="12"/>
  <c r="B60" i="12" l="1"/>
  <c r="C59" i="12"/>
  <c r="C58" i="12"/>
  <c r="C57" i="12"/>
  <c r="C56" i="12"/>
  <c r="C54" i="12"/>
  <c r="C53" i="12"/>
  <c r="C52" i="12"/>
  <c r="C55" i="12"/>
  <c r="C60" i="12"/>
  <c r="B72" i="12" l="1"/>
  <c r="C71" i="12"/>
  <c r="C70" i="12"/>
  <c r="C69" i="12"/>
  <c r="C68" i="12"/>
  <c r="C67" i="12"/>
  <c r="C66" i="12"/>
  <c r="C64" i="12"/>
  <c r="C65" i="12"/>
  <c r="C7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66" i="1"/>
  <c r="C11" i="15"/>
  <c r="D58" i="1"/>
  <c r="D25" i="1"/>
  <c r="D86" i="1"/>
  <c r="D79" i="1"/>
  <c r="D43" i="1"/>
  <c r="D17" i="1"/>
  <c r="D31" i="1"/>
  <c r="D24" i="1"/>
  <c r="D23" i="1"/>
  <c r="D90" i="1"/>
  <c r="D57" i="1"/>
  <c r="D63" i="1"/>
  <c r="D49" i="1"/>
  <c r="D15" i="1"/>
  <c r="D70" i="1"/>
  <c r="D40" i="1"/>
  <c r="D47" i="1"/>
  <c r="D38" i="1"/>
  <c r="D27" i="1"/>
  <c r="D36" i="1"/>
  <c r="D18" i="1"/>
  <c r="D22" i="1"/>
  <c r="D81" i="1"/>
  <c r="D59" i="1"/>
  <c r="D60" i="1"/>
  <c r="D51" i="1"/>
  <c r="D35" i="1"/>
  <c r="D61" i="1"/>
  <c r="D80" i="1"/>
  <c r="D56" i="1"/>
  <c r="D29" i="1"/>
  <c r="D44" i="1"/>
  <c r="D87" i="1"/>
  <c r="D75" i="1"/>
  <c r="D28" i="1"/>
  <c r="D77" i="1"/>
  <c r="D92" i="1"/>
  <c r="D20" i="1"/>
  <c r="D52" i="1"/>
  <c r="D50" i="1"/>
  <c r="D16" i="1"/>
  <c r="D48" i="1"/>
  <c r="D67" i="1"/>
  <c r="D64" i="1"/>
  <c r="D62" i="1"/>
  <c r="D19" i="1"/>
  <c r="D94" i="1"/>
  <c r="D83" i="1"/>
  <c r="D54" i="1"/>
  <c r="D30" i="1"/>
  <c r="D69" i="1"/>
  <c r="D82" i="1"/>
  <c r="D65" i="1"/>
  <c r="D84" i="1"/>
  <c r="D41" i="1"/>
  <c r="C11" i="16"/>
  <c r="D42" i="1"/>
  <c r="D91" i="1"/>
  <c r="D85" i="1"/>
  <c r="D53" i="1"/>
  <c r="D89" i="1"/>
  <c r="D71" i="1"/>
  <c r="D78" i="1"/>
  <c r="D76" i="1"/>
  <c r="D34" i="1"/>
  <c r="D37" i="1"/>
  <c r="D73" i="1"/>
  <c r="D88" i="1"/>
  <c r="D74" i="1"/>
  <c r="D39" i="1"/>
  <c r="D93" i="1"/>
  <c r="D33" i="1"/>
  <c r="D72" i="1"/>
  <c r="D26" i="1"/>
  <c r="D55" i="1"/>
  <c r="D32" i="1"/>
  <c r="D46" i="1"/>
  <c r="D6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<sst xmlns="http://schemas.openxmlformats.org/spreadsheetml/2006/main" count="235" uniqueCount="74">
  <si>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</si>
  <si>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</si>
  <si>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</si>
  <si>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</si>
  <si>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</si>
  <si>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</si>
  <si>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</si>
  <si>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</si>
  <si>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</si>
  <si>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</si>
  <si>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</si>
  <si>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</si>
  <si>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</si>
  <si>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</si>
  <si>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</si>
  <si>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</si>
  <si>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</si>
  <si>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</si>
  <si>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</si>
  <si>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</si>
  <si>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</si>
  <si>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</si>
  <si>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</si>
  <si>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</si>
  <si>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</si>
  <si>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</si>
  <si>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</si>
  <si>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</si>
  <si>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</si>
  <si>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</si>
  <si>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</si>
  <si>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</si>
  <si>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</si>
  <si>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</si>
  <si>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</si>
  <si>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</si>
  <si>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</si>
  <si>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</si>
  <si>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</si>
  <si>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</si>
  <si>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</si>
  <si>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</si>
  <si>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</si>
  <si>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</si>
  <si>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</si>
  <si>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</si>
  <si>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</si>
  <si>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</si>
  <si>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</si>
  <si>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</si>
  <si>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Faire le mouvement du serpent </t>
  </si>
  <si>
    <t>Faire l'aide mémoire</t>
  </si>
  <si>
    <t>J'ai passé pas mal de temps à commencer à faire le memo car j'ai aidé mes camarades avec node.js</t>
  </si>
  <si>
    <t>J'ai passé énormement de temps sur le movement parce que j'ai inversé des valeurs</t>
  </si>
  <si>
    <t>Faire le menu</t>
  </si>
  <si>
    <t>J'ai passé pas mal de temps à faire le menu car je ne savais plus trop comment code en html css</t>
  </si>
  <si>
    <t xml:space="preserve">Faire le système de mort </t>
  </si>
  <si>
    <t>J'ai passé un peu de temps à faire le système de mort si ça été assez rapide c'est parce que j'avais déjà fais les système qui agrandit mon snake et le système qui fais apparaitre les pommes</t>
  </si>
  <si>
    <t xml:space="preserve">ajouter les inputs pour les pseudos </t>
  </si>
  <si>
    <t xml:space="preserve">J'ai passé pas mal de temps à essayé de trouvé une solution à mon problème </t>
  </si>
  <si>
    <t>Faire une connection à un DB</t>
  </si>
  <si>
    <t>J'ai passé un peu de temps à faire une connection à un DB mais j'ai pas réussi car je n'avais pas les permission de me connecter sur PMA</t>
  </si>
  <si>
    <t>Regler le problème de la pomme</t>
  </si>
  <si>
    <t>j'ai passé beaucoup de temps à régler le problème de la pomme qui apparaissait dans le corp du serpent. Au final Mme Curchod m'a conseillé de faire avec une pommme au lieu d'une liste de pomme</t>
  </si>
  <si>
    <t>Mettre les commentaire</t>
  </si>
  <si>
    <t>Finir le mémo et le rapport</t>
  </si>
  <si>
    <t>J'ai passé pas mal de temps à tout finir car j'ai essayé de devlopper au maximum mes expliquations</t>
  </si>
  <si>
    <t>Faire la caisse automatique</t>
  </si>
  <si>
    <t>J'ai encore quelque bugs à régler</t>
  </si>
  <si>
    <t xml:space="preserve">Commencer le rapport </t>
  </si>
  <si>
    <t xml:space="preserve">J'ai commencé à faire mon rapport </t>
  </si>
  <si>
    <t xml:space="preserve">Finir le selfMachine </t>
  </si>
  <si>
    <t>J'a passé pas mal de temps à finir mon self machine car je n'arrivait pas modifier le "ticket de caisse"</t>
  </si>
  <si>
    <t>Finir les dernière retourche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</si>
</sst>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0" t="s">
        <v>38</v>
      </c>
      <c r="C35" s="170"/>
      <c r="D35" s="170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1" t="s">
        <v>39</v>
      </c>
      <c r="C37" s="171"/>
      <c r="D37" s="171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4" t="s">
        <v>35</v>
      </c>
      <c r="D1" s="174"/>
      <c r="E1" s="17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5"/>
      <c r="D7" s="175"/>
      <c r="E7" s="17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6" t="str">
        <f>E96</f>
        <v>0h</v>
      </c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19"/>
      <c r="W9" s="185" t="s">
        <v>27</v>
      </c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6" t="str">
        <f>E98</f>
        <v>0h</v>
      </c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92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90"/>
    </row>
    <row r="11" spans="1:186" ht="20.100000000000001" customHeight="1" x14ac:dyDescent="0.25">
      <c r="B11" s="96"/>
      <c r="C11" s="172"/>
      <c r="D11" s="172"/>
      <c r="E11" s="172"/>
      <c r="F11" s="184" t="s">
        <v>48</v>
      </c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 t="s">
        <v>48</v>
      </c>
      <c r="BO11" s="184"/>
      <c r="BP11" s="184"/>
      <c r="BQ11" s="184"/>
      <c r="BR11" s="184"/>
      <c r="BS11" s="184"/>
      <c r="BT11" s="184"/>
      <c r="BU11" s="184"/>
      <c r="BV11" s="184"/>
      <c r="BW11" s="184"/>
      <c r="BX11" s="184"/>
      <c r="BY11" s="184"/>
      <c r="BZ11" s="184"/>
      <c r="CA11" s="184"/>
      <c r="CB11" s="184"/>
      <c r="CC11" s="184"/>
      <c r="CD11" s="184"/>
      <c r="CE11" s="184"/>
      <c r="CF11" s="184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4"/>
      <c r="CZ11" s="184"/>
      <c r="DA11" s="184"/>
      <c r="DB11" s="184"/>
      <c r="DC11" s="184"/>
      <c r="DD11" s="184"/>
      <c r="DE11" s="184"/>
      <c r="DF11" s="184"/>
      <c r="DG11" s="184"/>
      <c r="DH11" s="184"/>
      <c r="DI11" s="184"/>
      <c r="DJ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184"/>
      <c r="DV11" s="189" t="s">
        <v>48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90"/>
    </row>
    <row r="12" spans="1:186" ht="15.75" customHeight="1" thickBot="1" x14ac:dyDescent="0.3">
      <c r="B12" s="97"/>
      <c r="C12" s="173"/>
      <c r="D12" s="173"/>
      <c r="E12" s="173"/>
      <c r="F12" s="183" t="s">
        <v>49</v>
      </c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 t="s">
        <v>49</v>
      </c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3"/>
      <c r="BZ12" s="183"/>
      <c r="CA12" s="183"/>
      <c r="CB12" s="183"/>
      <c r="CC12" s="183"/>
      <c r="CD12" s="183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3"/>
      <c r="CZ12" s="183"/>
      <c r="DA12" s="183"/>
      <c r="DB12" s="183"/>
      <c r="DC12" s="183"/>
      <c r="DD12" s="183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90" t="s">
        <v>49</v>
      </c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90"/>
    </row>
    <row r="13" spans="1:186" ht="42.75" customHeight="1" thickBot="1" x14ac:dyDescent="0.3">
      <c r="B13" s="96"/>
      <c r="C13" s="179" t="s">
        <v>7</v>
      </c>
      <c r="D13" s="145"/>
      <c r="E13" s="181" t="s">
        <v>45</v>
      </c>
      <c r="F13" s="191" t="s">
        <v>8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32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23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90"/>
    </row>
    <row r="14" spans="1:186" ht="12.75" customHeight="1" thickBot="1" x14ac:dyDescent="0.35">
      <c r="B14" s="96"/>
      <c r="C14" s="180"/>
      <c r="D14" s="146"/>
      <c r="E14" s="182"/>
      <c r="F14" s="103"/>
      <c r="G14" s="104"/>
      <c r="H14" s="104"/>
      <c r="I14" s="104"/>
      <c r="J14" s="194" t="s">
        <v>40</v>
      </c>
      <c r="K14" s="194"/>
      <c r="L14" s="194"/>
      <c r="M14" s="194"/>
      <c r="N14" s="104"/>
      <c r="O14" s="104"/>
      <c r="P14" s="195" t="s">
        <v>28</v>
      </c>
      <c r="Q14" s="195"/>
      <c r="R14" s="195"/>
      <c r="S14" s="195"/>
      <c r="T14" s="129"/>
      <c r="U14" s="129"/>
      <c r="V14" s="194" t="s">
        <v>41</v>
      </c>
      <c r="W14" s="194"/>
      <c r="X14" s="194"/>
      <c r="Y14" s="194"/>
      <c r="Z14" s="104"/>
      <c r="AA14" s="104"/>
      <c r="AB14" s="195" t="s">
        <v>29</v>
      </c>
      <c r="AC14" s="195"/>
      <c r="AD14" s="195"/>
      <c r="AE14" s="195"/>
      <c r="AF14" s="129"/>
      <c r="AG14" s="129"/>
      <c r="AH14" s="194" t="s">
        <v>42</v>
      </c>
      <c r="AI14" s="194"/>
      <c r="AJ14" s="194"/>
      <c r="AK14" s="194"/>
      <c r="AL14" s="104"/>
      <c r="AM14" s="104"/>
      <c r="AN14" s="195" t="s">
        <v>30</v>
      </c>
      <c r="AO14" s="195"/>
      <c r="AP14" s="195"/>
      <c r="AQ14" s="195"/>
      <c r="AR14" s="129"/>
      <c r="AS14" s="129"/>
      <c r="AT14" s="194" t="s">
        <v>43</v>
      </c>
      <c r="AU14" s="194"/>
      <c r="AV14" s="194"/>
      <c r="AW14" s="194"/>
      <c r="AX14" s="104"/>
      <c r="AY14" s="104"/>
      <c r="AZ14" s="195" t="s">
        <v>31</v>
      </c>
      <c r="BA14" s="195"/>
      <c r="BB14" s="195"/>
      <c r="BC14" s="195"/>
      <c r="BD14" s="129"/>
      <c r="BE14" s="129"/>
      <c r="BF14" s="194" t="s">
        <v>44</v>
      </c>
      <c r="BG14" s="194"/>
      <c r="BH14" s="194"/>
      <c r="BI14" s="194"/>
      <c r="BJ14" s="104"/>
      <c r="BK14" s="104"/>
      <c r="BL14" s="104"/>
      <c r="BM14" s="105"/>
      <c r="BN14" s="103"/>
      <c r="BO14" s="104"/>
      <c r="BP14" s="104"/>
      <c r="BQ14" s="104"/>
      <c r="BR14" s="194" t="s">
        <v>40</v>
      </c>
      <c r="BS14" s="194"/>
      <c r="BT14" s="194"/>
      <c r="BU14" s="194"/>
      <c r="BV14" s="104"/>
      <c r="BW14" s="104"/>
      <c r="BX14" s="195" t="s">
        <v>28</v>
      </c>
      <c r="BY14" s="195"/>
      <c r="BZ14" s="195"/>
      <c r="CA14" s="195"/>
      <c r="CB14" s="129"/>
      <c r="CC14" s="129"/>
      <c r="CD14" s="194" t="s">
        <v>41</v>
      </c>
      <c r="CE14" s="194"/>
      <c r="CF14" s="194"/>
      <c r="CG14" s="194"/>
      <c r="CH14" s="104"/>
      <c r="CI14" s="104"/>
      <c r="CJ14" s="195" t="s">
        <v>29</v>
      </c>
      <c r="CK14" s="195"/>
      <c r="CL14" s="195"/>
      <c r="CM14" s="195"/>
      <c r="CN14" s="129"/>
      <c r="CO14" s="129"/>
      <c r="CP14" s="194" t="s">
        <v>42</v>
      </c>
      <c r="CQ14" s="194"/>
      <c r="CR14" s="194"/>
      <c r="CS14" s="194"/>
      <c r="CT14" s="104"/>
      <c r="CU14" s="104"/>
      <c r="CV14" s="195" t="s">
        <v>30</v>
      </c>
      <c r="CW14" s="195"/>
      <c r="CX14" s="195"/>
      <c r="CY14" s="195"/>
      <c r="CZ14" s="129"/>
      <c r="DA14" s="129"/>
      <c r="DB14" s="194" t="s">
        <v>43</v>
      </c>
      <c r="DC14" s="194"/>
      <c r="DD14" s="194"/>
      <c r="DE14" s="194"/>
      <c r="DF14" s="104"/>
      <c r="DG14" s="104"/>
      <c r="DH14" s="195" t="s">
        <v>31</v>
      </c>
      <c r="DI14" s="195"/>
      <c r="DJ14" s="195"/>
      <c r="DK14" s="195"/>
      <c r="DL14" s="129"/>
      <c r="DM14" s="129"/>
      <c r="DN14" s="194" t="s">
        <v>44</v>
      </c>
      <c r="DO14" s="194"/>
      <c r="DP14" s="194"/>
      <c r="DQ14" s="194"/>
      <c r="DR14" s="104"/>
      <c r="DS14" s="104"/>
      <c r="DT14" s="104"/>
      <c r="DU14" s="105"/>
      <c r="DV14" s="103"/>
      <c r="DW14" s="104"/>
      <c r="DX14" s="104"/>
      <c r="DY14" s="104"/>
      <c r="DZ14" s="194" t="s">
        <v>40</v>
      </c>
      <c r="EA14" s="194"/>
      <c r="EB14" s="194"/>
      <c r="EC14" s="194"/>
      <c r="ED14" s="104"/>
      <c r="EE14" s="104"/>
      <c r="EF14" s="195" t="s">
        <v>28</v>
      </c>
      <c r="EG14" s="195"/>
      <c r="EH14" s="195"/>
      <c r="EI14" s="195"/>
      <c r="EJ14" s="129"/>
      <c r="EK14" s="129"/>
      <c r="EL14" s="194" t="s">
        <v>41</v>
      </c>
      <c r="EM14" s="194"/>
      <c r="EN14" s="194"/>
      <c r="EO14" s="194"/>
      <c r="EP14" s="104"/>
      <c r="EQ14" s="104"/>
      <c r="ER14" s="195" t="s">
        <v>29</v>
      </c>
      <c r="ES14" s="195"/>
      <c r="ET14" s="195"/>
      <c r="EU14" s="195"/>
      <c r="EV14" s="129"/>
      <c r="EW14" s="129"/>
      <c r="EX14" s="194" t="s">
        <v>42</v>
      </c>
      <c r="EY14" s="194"/>
      <c r="EZ14" s="194"/>
      <c r="FA14" s="194"/>
      <c r="FB14" s="104"/>
      <c r="FC14" s="104"/>
      <c r="FD14" s="195" t="s">
        <v>30</v>
      </c>
      <c r="FE14" s="195"/>
      <c r="FF14" s="195"/>
      <c r="FG14" s="195"/>
      <c r="FH14" s="129"/>
      <c r="FI14" s="129"/>
      <c r="FJ14" s="194" t="s">
        <v>43</v>
      </c>
      <c r="FK14" s="194"/>
      <c r="FL14" s="194"/>
      <c r="FM14" s="194"/>
      <c r="FN14" s="104"/>
      <c r="FO14" s="104"/>
      <c r="FP14" s="195" t="s">
        <v>31</v>
      </c>
      <c r="FQ14" s="195"/>
      <c r="FR14" s="195"/>
      <c r="FS14" s="195"/>
      <c r="FT14" s="129"/>
      <c r="FU14" s="129"/>
      <c r="FV14" s="194" t="s">
        <v>44</v>
      </c>
      <c r="FW14" s="194"/>
      <c r="FX14" s="194"/>
      <c r="FY14" s="194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6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7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6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7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6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78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6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8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6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8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6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7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6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7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6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7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6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7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6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7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6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8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6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7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6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8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6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7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6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7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6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8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6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7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6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7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6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8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6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7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6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8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6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7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6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7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6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8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6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7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6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7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6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8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6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7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6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8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6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7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6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7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6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8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6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7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6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7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6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8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6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7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6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8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6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7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6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7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6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8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200" t="s">
        <v>9</v>
      </c>
      <c r="D95" s="201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2"/>
      <c r="D96" s="203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" activePane="bottomLeft" state="frozen"/>
      <selection pane="bottomLeft" activeCell="A5" sqref="A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41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6</v>
      </c>
      <c r="C2" s="165"/>
      <c r="D2" s="158" t="s">
        <v>19</v>
      </c>
      <c r="E2" s="159">
        <v>45300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0" t="s">
        <v>18</v>
      </c>
      <c r="F3" s="211"/>
      <c r="G3" s="46"/>
    </row>
    <row r="4" spans="1:7" s="52" customFormat="1" ht="27" x14ac:dyDescent="0.3">
      <c r="A4" s="166" t="s">
        <v>73</v>
      </c>
      <c r="B4" s="49">
        <v>23</v>
      </c>
      <c r="C4" s="153" t="str">
        <f xml:space="preserve"> IF(B4="","",setValueToTime(B4))</f>
        <v>1h55min</v>
      </c>
      <c r="D4" s="50"/>
      <c r="E4" s="212"/>
      <c r="F4" s="213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4"/>
      <c r="F10" s="205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6"/>
      <c r="F11" s="207"/>
      <c r="G11" s="51"/>
    </row>
    <row r="12" spans="1:7" s="52" customFormat="1" ht="15" thickBot="1" x14ac:dyDescent="0.35">
      <c r="A12" s="163" t="s">
        <v>33</v>
      </c>
      <c r="B12" s="83">
        <f>SUM(B4:B11)</f>
        <v>23</v>
      </c>
      <c r="C12" s="163" t="str">
        <f xml:space="preserve"> setValueToTime(B12)</f>
        <v>1h55min</v>
      </c>
      <c r="D12" s="121"/>
      <c r="E12" s="208"/>
      <c r="F12" s="20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5</v>
      </c>
      <c r="C14" s="165"/>
      <c r="D14" s="158" t="s">
        <v>19</v>
      </c>
      <c r="E14" s="159">
        <v>45279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10" t="s">
        <v>18</v>
      </c>
      <c r="F15" s="211"/>
      <c r="G15" s="46"/>
    </row>
    <row r="16" spans="1:7" s="52" customFormat="1" ht="27" x14ac:dyDescent="0.3">
      <c r="A16" s="166" t="s">
        <v>69</v>
      </c>
      <c r="B16" s="49">
        <v>18</v>
      </c>
      <c r="C16" s="153" t="str">
        <f xml:space="preserve"> IF(B16="","",setValueToTime(B16))</f>
        <v>1h30min</v>
      </c>
      <c r="D16" s="169" t="s">
        <v>70</v>
      </c>
      <c r="E16" s="212"/>
      <c r="F16" s="213"/>
      <c r="G16" s="51"/>
    </row>
    <row r="17" spans="1:7" s="52" customFormat="1" ht="27" x14ac:dyDescent="0.3">
      <c r="A17" s="167" t="s">
        <v>71</v>
      </c>
      <c r="B17" s="54">
        <v>24</v>
      </c>
      <c r="C17" s="154" t="str">
        <f t="shared" ref="C17:C23" si="1" xml:space="preserve"> IF(B17="","",setValueToTime(B17))</f>
        <v>2h</v>
      </c>
      <c r="D17" s="168" t="s">
        <v>72</v>
      </c>
      <c r="E17" s="204"/>
      <c r="F17" s="205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4"/>
      <c r="F18" s="205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4"/>
      <c r="F19" s="205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4"/>
      <c r="F20" s="205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4"/>
      <c r="F21" s="205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4"/>
      <c r="F22" s="205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6"/>
      <c r="F23" s="207"/>
      <c r="G23" s="51"/>
    </row>
    <row r="24" spans="1:7" s="52" customFormat="1" ht="15" thickBot="1" x14ac:dyDescent="0.35">
      <c r="A24" s="163" t="s">
        <v>33</v>
      </c>
      <c r="B24" s="83">
        <f>SUM(B16:B23)</f>
        <v>42</v>
      </c>
      <c r="C24" s="163" t="str">
        <f xml:space="preserve"> setValueToTime(B24)</f>
        <v>3h30min</v>
      </c>
      <c r="D24" s="121"/>
      <c r="E24" s="208"/>
      <c r="F24" s="20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4</v>
      </c>
      <c r="C26" s="165"/>
      <c r="D26" s="158" t="s">
        <v>19</v>
      </c>
      <c r="E26" s="159">
        <v>45272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10" t="s">
        <v>18</v>
      </c>
      <c r="F27" s="211"/>
      <c r="G27" s="46"/>
    </row>
    <row r="28" spans="1:7" s="52" customFormat="1" ht="27" x14ac:dyDescent="0.3">
      <c r="A28" s="166" t="s">
        <v>65</v>
      </c>
      <c r="B28" s="49">
        <v>13</v>
      </c>
      <c r="C28" s="153" t="str">
        <f xml:space="preserve"> IF(B28="","",setValueToTime(B28))</f>
        <v>1h5min</v>
      </c>
      <c r="D28" s="169" t="s">
        <v>66</v>
      </c>
      <c r="E28" s="212"/>
      <c r="F28" s="213"/>
      <c r="G28" s="51"/>
    </row>
    <row r="29" spans="1:7" s="52" customFormat="1" ht="27" x14ac:dyDescent="0.3">
      <c r="A29" s="167" t="s">
        <v>67</v>
      </c>
      <c r="B29" s="54">
        <v>28</v>
      </c>
      <c r="C29" s="154" t="str">
        <f t="shared" ref="C29:C35" si="2" xml:space="preserve"> IF(B29="","",setValueToTime(B29))</f>
        <v>2h20min</v>
      </c>
      <c r="D29" s="168" t="s">
        <v>68</v>
      </c>
      <c r="E29" s="204"/>
      <c r="F29" s="205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4"/>
      <c r="F30" s="205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4"/>
      <c r="F31" s="205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4"/>
      <c r="F32" s="205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4"/>
      <c r="F33" s="205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4"/>
      <c r="F34" s="205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6"/>
      <c r="F35" s="207"/>
      <c r="G35" s="51"/>
    </row>
    <row r="36" spans="1:7" s="52" customFormat="1" ht="15" thickBot="1" x14ac:dyDescent="0.35">
      <c r="A36" s="163" t="s">
        <v>33</v>
      </c>
      <c r="B36" s="83">
        <f>SUM(B28:B35)</f>
        <v>41</v>
      </c>
      <c r="C36" s="163" t="str">
        <f xml:space="preserve"> setValueToTime(B36)</f>
        <v>3h25min</v>
      </c>
      <c r="D36" s="121"/>
      <c r="E36" s="208"/>
      <c r="F36" s="209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3</v>
      </c>
      <c r="C38" s="165"/>
      <c r="D38" s="158" t="s">
        <v>19</v>
      </c>
      <c r="E38" s="159">
        <v>45265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10" t="s">
        <v>18</v>
      </c>
      <c r="F39" s="211"/>
      <c r="G39" s="46"/>
    </row>
    <row r="40" spans="1:7" s="52" customFormat="1" ht="40.5" x14ac:dyDescent="0.3">
      <c r="A40" s="166" t="s">
        <v>62</v>
      </c>
      <c r="B40" s="49">
        <v>12</v>
      </c>
      <c r="C40" s="153" t="str">
        <f xml:space="preserve"> IF(B40="","",setValueToTime(B40))</f>
        <v>1h</v>
      </c>
      <c r="D40" s="169" t="s">
        <v>63</v>
      </c>
      <c r="E40" s="212"/>
      <c r="F40" s="213"/>
      <c r="G40" s="51"/>
    </row>
    <row r="41" spans="1:7" s="52" customFormat="1" ht="27" x14ac:dyDescent="0.3">
      <c r="A41" s="167" t="s">
        <v>64</v>
      </c>
      <c r="B41" s="54">
        <v>5</v>
      </c>
      <c r="C41" s="154" t="str">
        <f t="shared" ref="C41:C47" si="3" xml:space="preserve"> IF(B41="","",setValueToTime(B41))</f>
        <v>0h25min</v>
      </c>
      <c r="D41" s="55"/>
      <c r="E41" s="204"/>
      <c r="F41" s="205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4"/>
      <c r="F42" s="205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4"/>
      <c r="F43" s="205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4"/>
      <c r="F44" s="205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4"/>
      <c r="F45" s="205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4"/>
      <c r="F46" s="205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6"/>
      <c r="F47" s="207"/>
      <c r="G47" s="51"/>
    </row>
    <row r="48" spans="1:7" s="52" customFormat="1" ht="15" thickBot="1" x14ac:dyDescent="0.35">
      <c r="A48" s="163" t="s">
        <v>33</v>
      </c>
      <c r="B48" s="83">
        <f>SUM(B40:B47)</f>
        <v>17</v>
      </c>
      <c r="C48" s="163" t="str">
        <f xml:space="preserve"> setValueToTime(B48)</f>
        <v>1h25min</v>
      </c>
      <c r="D48" s="121"/>
      <c r="E48" s="208"/>
      <c r="F48" s="209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2</v>
      </c>
      <c r="C50" s="165"/>
      <c r="D50" s="158" t="s">
        <v>19</v>
      </c>
      <c r="E50" s="159">
        <v>45251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10" t="s">
        <v>18</v>
      </c>
      <c r="F51" s="211"/>
      <c r="G51" s="46"/>
    </row>
    <row r="52" spans="1:7" s="52" customFormat="1" ht="27" x14ac:dyDescent="0.3">
      <c r="A52" s="166" t="s">
        <v>54</v>
      </c>
      <c r="B52" s="49">
        <v>12</v>
      </c>
      <c r="C52" s="153" t="str">
        <f xml:space="preserve"> IF(B52="","",setValueToTime(B52))</f>
        <v>1h</v>
      </c>
      <c r="D52" s="169" t="s">
        <v>55</v>
      </c>
      <c r="E52" s="212"/>
      <c r="F52" s="213"/>
      <c r="G52" s="51"/>
    </row>
    <row r="53" spans="1:7" s="52" customFormat="1" ht="40.5" x14ac:dyDescent="0.3">
      <c r="A53" s="167" t="s">
        <v>56</v>
      </c>
      <c r="B53" s="54">
        <v>12</v>
      </c>
      <c r="C53" s="154" t="str">
        <f t="shared" ref="C53:C59" si="4" xml:space="preserve"> IF(B53="","",setValueToTime(B53))</f>
        <v>1h</v>
      </c>
      <c r="D53" s="168" t="s">
        <v>57</v>
      </c>
      <c r="E53" s="204"/>
      <c r="F53" s="205"/>
      <c r="G53" s="51"/>
    </row>
    <row r="54" spans="1:7" s="52" customFormat="1" ht="27" x14ac:dyDescent="0.3">
      <c r="A54" s="167" t="s">
        <v>58</v>
      </c>
      <c r="B54" s="54">
        <v>15</v>
      </c>
      <c r="C54" s="154" t="str">
        <f t="shared" si="4"/>
        <v>1h15min</v>
      </c>
      <c r="D54" s="168" t="s">
        <v>59</v>
      </c>
      <c r="E54" s="204"/>
      <c r="F54" s="205"/>
      <c r="G54" s="51"/>
    </row>
    <row r="55" spans="1:7" s="52" customFormat="1" ht="27" x14ac:dyDescent="0.3">
      <c r="A55" s="167" t="s">
        <v>60</v>
      </c>
      <c r="B55" s="54">
        <v>6</v>
      </c>
      <c r="C55" s="154" t="str">
        <f t="shared" si="4"/>
        <v>0h30min</v>
      </c>
      <c r="D55" s="168" t="s">
        <v>61</v>
      </c>
      <c r="E55" s="204"/>
      <c r="F55" s="205"/>
      <c r="G55" s="51"/>
    </row>
    <row r="56" spans="1:7" s="52" customFormat="1" x14ac:dyDescent="0.3">
      <c r="A56" s="54"/>
      <c r="B56" s="54"/>
      <c r="C56" s="155" t="str">
        <f t="shared" si="4"/>
        <v/>
      </c>
      <c r="D56" s="55"/>
      <c r="E56" s="204"/>
      <c r="F56" s="205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4"/>
      <c r="F57" s="205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4"/>
      <c r="F58" s="205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6"/>
      <c r="F59" s="207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8"/>
      <c r="F60" s="209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7" t="s">
        <v>16</v>
      </c>
      <c r="B62" s="165">
        <v>1</v>
      </c>
      <c r="C62" s="165"/>
      <c r="D62" s="158" t="s">
        <v>19</v>
      </c>
      <c r="E62" s="159">
        <v>45244</v>
      </c>
      <c r="F62" s="160"/>
      <c r="G62" s="46"/>
    </row>
    <row r="63" spans="1:7" s="47" customFormat="1" ht="30" customHeight="1" thickBot="1" x14ac:dyDescent="0.3">
      <c r="A63" s="78" t="s">
        <v>5</v>
      </c>
      <c r="B63" s="162" t="s">
        <v>46</v>
      </c>
      <c r="C63" s="161"/>
      <c r="D63" s="78" t="s">
        <v>17</v>
      </c>
      <c r="E63" s="210" t="s">
        <v>18</v>
      </c>
      <c r="F63" s="211"/>
      <c r="G63" s="46"/>
    </row>
    <row r="64" spans="1:7" s="52" customFormat="1" ht="27" x14ac:dyDescent="0.3">
      <c r="A64" s="166" t="s">
        <v>50</v>
      </c>
      <c r="B64" s="49">
        <v>30</v>
      </c>
      <c r="C64" s="153" t="str">
        <f xml:space="preserve"> IF(B64="","",setValueToTime(B64))</f>
        <v>2h30min</v>
      </c>
      <c r="D64" s="169" t="s">
        <v>53</v>
      </c>
      <c r="E64" s="212"/>
      <c r="F64" s="213"/>
      <c r="G64" s="51"/>
    </row>
    <row r="65" spans="1:7" s="52" customFormat="1" ht="27" x14ac:dyDescent="0.3">
      <c r="A65" s="167" t="s">
        <v>51</v>
      </c>
      <c r="B65" s="54">
        <v>15</v>
      </c>
      <c r="C65" s="154" t="str">
        <f t="shared" ref="C65:C71" si="5" xml:space="preserve"> IF(B65="","",setValueToTime(B65))</f>
        <v>1h15min</v>
      </c>
      <c r="D65" s="168" t="s">
        <v>52</v>
      </c>
      <c r="E65" s="204"/>
      <c r="F65" s="205"/>
      <c r="G65" s="51"/>
    </row>
    <row r="66" spans="1:7" s="52" customFormat="1" x14ac:dyDescent="0.3">
      <c r="A66" s="53"/>
      <c r="B66" s="54"/>
      <c r="C66" s="154" t="str">
        <f t="shared" si="5"/>
        <v/>
      </c>
      <c r="D66" s="55"/>
      <c r="E66" s="204"/>
      <c r="F66" s="205"/>
      <c r="G66" s="51"/>
    </row>
    <row r="67" spans="1:7" s="52" customFormat="1" x14ac:dyDescent="0.3">
      <c r="A67" s="53"/>
      <c r="B67" s="54"/>
      <c r="C67" s="154" t="str">
        <f t="shared" si="5"/>
        <v/>
      </c>
      <c r="D67" s="55"/>
      <c r="E67" s="204"/>
      <c r="F67" s="205"/>
      <c r="G67" s="51"/>
    </row>
    <row r="68" spans="1:7" s="52" customFormat="1" x14ac:dyDescent="0.3">
      <c r="A68" s="54"/>
      <c r="B68" s="54"/>
      <c r="C68" s="155" t="str">
        <f t="shared" si="5"/>
        <v/>
      </c>
      <c r="D68" s="55"/>
      <c r="E68" s="204"/>
      <c r="F68" s="205"/>
      <c r="G68" s="51"/>
    </row>
    <row r="69" spans="1:7" s="52" customFormat="1" x14ac:dyDescent="0.3">
      <c r="A69" s="54"/>
      <c r="B69" s="54"/>
      <c r="C69" s="155" t="str">
        <f t="shared" si="5"/>
        <v/>
      </c>
      <c r="D69" s="55"/>
      <c r="E69" s="204"/>
      <c r="F69" s="205"/>
      <c r="G69" s="51"/>
    </row>
    <row r="70" spans="1:7" s="52" customFormat="1" x14ac:dyDescent="0.3">
      <c r="A70" s="54"/>
      <c r="B70" s="54"/>
      <c r="C70" s="155" t="str">
        <f t="shared" si="5"/>
        <v/>
      </c>
      <c r="D70" s="55"/>
      <c r="E70" s="204"/>
      <c r="F70" s="205"/>
      <c r="G70" s="51"/>
    </row>
    <row r="71" spans="1:7" s="52" customFormat="1" ht="15" thickBot="1" x14ac:dyDescent="0.35">
      <c r="A71" s="56"/>
      <c r="B71" s="56"/>
      <c r="C71" s="156" t="str">
        <f t="shared" si="5"/>
        <v/>
      </c>
      <c r="D71" s="57"/>
      <c r="E71" s="206"/>
      <c r="F71" s="207"/>
      <c r="G71" s="51"/>
    </row>
    <row r="72" spans="1:7" s="52" customFormat="1" ht="15" thickBot="1" x14ac:dyDescent="0.35">
      <c r="A72" s="163" t="s">
        <v>33</v>
      </c>
      <c r="B72" s="83">
        <f>SUM(B64:B71)</f>
        <v>45</v>
      </c>
      <c r="C72" s="163" t="str">
        <f xml:space="preserve"> setValueToTime(B72)</f>
        <v>3h45min</v>
      </c>
      <c r="D72" s="121"/>
      <c r="E72" s="208"/>
      <c r="F72" s="209"/>
      <c r="G72" s="51"/>
    </row>
    <row r="73" spans="1:7" s="59" customFormat="1" x14ac:dyDescent="0.3">
      <c r="A73" s="77"/>
      <c r="B73" s="77"/>
      <c r="C73" s="77"/>
      <c r="D73" s="77"/>
      <c r="E73" s="77"/>
      <c r="F73" s="77"/>
      <c r="G73" s="58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>
      <formula1>0</formula1>
      <formula2>60</formula2>
    </dataValidation>
    <dataValidation type="list" allowBlank="1" showInputMessage="1" showErrorMessage="1" sqref="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91" t="s">
        <v>16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90"/>
    </row>
    <row r="14" spans="1:61" ht="15.75" thickBot="1" x14ac:dyDescent="0.35">
      <c r="A14" s="103"/>
      <c r="B14" s="104"/>
      <c r="C14" s="104"/>
      <c r="D14" s="104"/>
      <c r="E14" s="194" t="s">
        <v>40</v>
      </c>
      <c r="F14" s="194"/>
      <c r="G14" s="194"/>
      <c r="H14" s="194"/>
      <c r="I14" s="104"/>
      <c r="J14" s="104"/>
      <c r="K14" s="195" t="s">
        <v>28</v>
      </c>
      <c r="L14" s="195"/>
      <c r="M14" s="195"/>
      <c r="N14" s="195"/>
      <c r="O14" s="129"/>
      <c r="P14" s="129"/>
      <c r="Q14" s="194" t="s">
        <v>41</v>
      </c>
      <c r="R14" s="194"/>
      <c r="S14" s="194"/>
      <c r="T14" s="194"/>
      <c r="U14" s="104"/>
      <c r="V14" s="104"/>
      <c r="W14" s="195" t="s">
        <v>29</v>
      </c>
      <c r="X14" s="195"/>
      <c r="Y14" s="195"/>
      <c r="Z14" s="195"/>
      <c r="AA14" s="129"/>
      <c r="AB14" s="129"/>
      <c r="AC14" s="194" t="s">
        <v>42</v>
      </c>
      <c r="AD14" s="194"/>
      <c r="AE14" s="194"/>
      <c r="AF14" s="194"/>
      <c r="AG14" s="104"/>
      <c r="AH14" s="104"/>
      <c r="AI14" s="195" t="s">
        <v>30</v>
      </c>
      <c r="AJ14" s="195"/>
      <c r="AK14" s="195"/>
      <c r="AL14" s="195"/>
      <c r="AM14" s="129"/>
      <c r="AN14" s="129"/>
      <c r="AO14" s="194" t="s">
        <v>43</v>
      </c>
      <c r="AP14" s="194"/>
      <c r="AQ14" s="194"/>
      <c r="AR14" s="194"/>
      <c r="AS14" s="104"/>
      <c r="AT14" s="104"/>
      <c r="AU14" s="195" t="s">
        <v>31</v>
      </c>
      <c r="AV14" s="195"/>
      <c r="AW14" s="195"/>
      <c r="AX14" s="195"/>
      <c r="AY14" s="129"/>
      <c r="AZ14" s="129"/>
      <c r="BA14" s="194" t="s">
        <v>44</v>
      </c>
      <c r="BB14" s="194"/>
      <c r="BC14" s="194"/>
      <c r="BD14" s="19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4" t="s">
        <v>18</v>
      </c>
      <c r="F2" s="215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6"/>
      <c r="F11" s="21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0" t="s">
        <v>18</v>
      </c>
      <c r="F2" s="21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8"/>
      <c r="F11" s="20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ThomasLouis Nardou</dc:creator>
  <cp:lastModifiedBy>ThomasLouis Nardou</cp:lastModifiedBy>
  <cp:lastPrinted>2019-05-08T10:31:53Z</cp:lastPrinted>
  <dcterms:created xsi:type="dcterms:W3CDTF">1996-10-21T11:03:58Z</dcterms:created>
  <dcterms:modified xsi:type="dcterms:W3CDTF">2024-01-09T14:46:54Z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